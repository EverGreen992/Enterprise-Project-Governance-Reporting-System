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da9105231fe681/Enterprise Project Governance ^0 Reporting/EPGRS_Project_Dashboard. xlsx/"/>
    </mc:Choice>
  </mc:AlternateContent>
  <xr:revisionPtr revIDLastSave="0" documentId="8_{F5438663-3999-40CB-9AA1-0AAB7332DD13}" xr6:coauthVersionLast="47" xr6:coauthVersionMax="47" xr10:uidLastSave="{00000000-0000-0000-0000-000000000000}"/>
  <bookViews>
    <workbookView xWindow="-120" yWindow="-120" windowWidth="20730" windowHeight="11040" xr2:uid="{E6E715B4-E3A9-435F-BC58-4D595C4DC8E7}"/>
  </bookViews>
  <sheets>
    <sheet name="Project Master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<sst xmlns="http://schemas.openxmlformats.org/spreadsheetml/2006/main" count="121" uniqueCount="95">
  <si>
    <t>Project ID</t>
  </si>
  <si>
    <t>Project Name</t>
  </si>
  <si>
    <t>Owner</t>
  </si>
  <si>
    <t>Department</t>
  </si>
  <si>
    <t>Budget ($)</t>
  </si>
  <si>
    <t>Actual Spend ($)</t>
  </si>
  <si>
    <t>Start Date</t>
  </si>
  <si>
    <t>End Date</t>
  </si>
  <si>
    <t>Status</t>
  </si>
  <si>
    <t>Risk Level</t>
  </si>
  <si>
    <t>PRJ-001</t>
  </si>
  <si>
    <t>PRJ-002</t>
  </si>
  <si>
    <t>PRJ-003</t>
  </si>
  <si>
    <t>PRJ-004</t>
  </si>
  <si>
    <t>PRJ-005</t>
  </si>
  <si>
    <t>PRJ-006</t>
  </si>
  <si>
    <t>PRJ-007</t>
  </si>
  <si>
    <t>PRJ-008</t>
  </si>
  <si>
    <t>PRJ-009</t>
  </si>
  <si>
    <t>PRJ-0010</t>
  </si>
  <si>
    <t>PRJ-0011</t>
  </si>
  <si>
    <t>PRJ-0012</t>
  </si>
  <si>
    <t>PRJ-0013</t>
  </si>
  <si>
    <t>PRJ-0014</t>
  </si>
  <si>
    <t>PRJ-0015</t>
  </si>
  <si>
    <t>Digital Transformation Rollout</t>
  </si>
  <si>
    <t>ERP Migration</t>
  </si>
  <si>
    <t>Cybersecurity Compliance</t>
  </si>
  <si>
    <t>HR System Automation</t>
  </si>
  <si>
    <t>Supply Chain Optimization</t>
  </si>
  <si>
    <t>Enterprise Data Warehouse Implementation</t>
  </si>
  <si>
    <t>Mobile Application Launch</t>
  </si>
  <si>
    <t>Financial Reporting Automation</t>
  </si>
  <si>
    <t>Customer Experience Enhancement Program</t>
  </si>
  <si>
    <t>Cloud Infrastructure Migration</t>
  </si>
  <si>
    <t>Regulatory Compliance Audit Initiative</t>
  </si>
  <si>
    <t>Enterprise CRM Upgrade</t>
  </si>
  <si>
    <t>Supply Chain Digitization</t>
  </si>
  <si>
    <t>AI-Powered Analytics Integration</t>
  </si>
  <si>
    <t>Corporate Website Redesign</t>
  </si>
  <si>
    <t>A. Johnson</t>
  </si>
  <si>
    <t>M. Okafor</t>
  </si>
  <si>
    <t>S. Williams</t>
  </si>
  <si>
    <t>D. Ibrahim</t>
  </si>
  <si>
    <t>R. Chen</t>
  </si>
  <si>
    <t>L. Mensah</t>
  </si>
  <si>
    <t>C. Adeyemi</t>
  </si>
  <si>
    <t>T. Okonkwo</t>
  </si>
  <si>
    <t>E. Smith</t>
  </si>
  <si>
    <t>B. Hassan</t>
  </si>
  <si>
    <t>N. Patel</t>
  </si>
  <si>
    <t>F. Garcia</t>
  </si>
  <si>
    <t>K. Ibrahim</t>
  </si>
  <si>
    <t>J. Brown</t>
  </si>
  <si>
    <t>P. Okafor</t>
  </si>
  <si>
    <t>IT</t>
  </si>
  <si>
    <t>Finance</t>
  </si>
  <si>
    <t>Compliance</t>
  </si>
  <si>
    <t xml:space="preserve">HR </t>
  </si>
  <si>
    <t>Operations</t>
  </si>
  <si>
    <t xml:space="preserve">Product </t>
  </si>
  <si>
    <t xml:space="preserve">Finance </t>
  </si>
  <si>
    <t xml:space="preserve">Operations </t>
  </si>
  <si>
    <t xml:space="preserve">Compliance </t>
  </si>
  <si>
    <t>Sales</t>
  </si>
  <si>
    <t xml:space="preserve">Data Analytics </t>
  </si>
  <si>
    <t xml:space="preserve">Marketing </t>
  </si>
  <si>
    <t>On Track</t>
  </si>
  <si>
    <t>Delayed</t>
  </si>
  <si>
    <t>High</t>
  </si>
  <si>
    <t>In progress</t>
  </si>
  <si>
    <t>Completed</t>
  </si>
  <si>
    <t>Low</t>
  </si>
  <si>
    <t>On track</t>
  </si>
  <si>
    <t>15/01/2026</t>
  </si>
  <si>
    <t>20/02/2026</t>
  </si>
  <si>
    <t>15/02/2026</t>
  </si>
  <si>
    <t>13/03/2026</t>
  </si>
  <si>
    <t>29/1/2026</t>
  </si>
  <si>
    <t>30/9/2026</t>
  </si>
  <si>
    <t>30/7/2026</t>
  </si>
  <si>
    <t>30/6/2026</t>
  </si>
  <si>
    <t>31/8/2026</t>
  </si>
  <si>
    <t>31/12/2026</t>
  </si>
  <si>
    <t>30/5/2026</t>
  </si>
  <si>
    <t>31/10/202</t>
  </si>
  <si>
    <t>30/4/2026</t>
  </si>
  <si>
    <t>31/11/2026</t>
  </si>
  <si>
    <t>28/10/2026</t>
  </si>
  <si>
    <t>30/11/2026</t>
  </si>
  <si>
    <t>Variance</t>
  </si>
  <si>
    <t>In Progress</t>
  </si>
  <si>
    <t>Medium</t>
  </si>
  <si>
    <t>Critical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</si>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</sst>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14" fontId="0" fillId="0" borderId="0" xfId="0" applyNumberFormat="1"/>
    <xf numFmtId="3" fontId="0" fillId="0" borderId="0" xfId="0" applyNumberFormat="1" applyAlignment="1">
      <alignment wrapText="1"/>
    </xf>
  </cellXfs>
  <cellStyles count="1">
    <cellStyle name="Normal" xfId="0" builtinId="0"/>
  </cellStyles>
  <dxfs count="11"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2929"/>
        </patternFill>
      </fill>
    </dxf>
    <dxf>
      <fill>
        <patternFill>
          <bgColor theme="7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CC33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2929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F54E-15B7-4A6C-8888-918283BBAAD5}">
  <dimension ref="A1:K87"/>
  <sheetViews>
    <sheetView tabSelected="1" workbookViewId="0">
      <pane ySplit="1" topLeftCell="A2" activePane="bottomLeft" state="frozen"/>
      <selection activeCell="B1" sqref="B1"/>
      <selection pane="bottomLeft" activeCell="D6" sqref="D6"/>
    </sheetView>
  </sheetViews>
  <sheetFormatPr defaultRowHeight="15" x14ac:dyDescent="0.25"/>
  <cols>
    <col min="1" max="1" width="11.28515625" customWidth="1"/>
    <col min="2" max="2" width="21.7109375" style="3" customWidth="1"/>
    <col min="3" max="3" width="13.28515625" customWidth="1"/>
    <col min="4" max="4" width="14.140625" customWidth="1"/>
    <col min="5" max="5" width="12.5703125" customWidth="1"/>
    <col min="6" max="7" width="18.5703125" customWidth="1"/>
    <col min="8" max="8" width="10.5703125" customWidth="1"/>
    <col min="9" max="9" width="12.140625" customWidth="1"/>
    <col min="10" max="10" width="11.140625" customWidth="1"/>
    <col min="11" max="11" width="10.7109375" customWidth="1"/>
    <col min="12" max="12" width="10.140625" customWidth="1"/>
  </cols>
  <sheetData>
    <row r="1" spans="1:11" s="1" customFormat="1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0" customHeight="1" x14ac:dyDescent="0.25">
      <c r="A2" t="s">
        <v>10</v>
      </c>
      <c r="B2" s="3" t="s">
        <v>25</v>
      </c>
      <c r="C2" t="s">
        <v>40</v>
      </c>
      <c r="D2" t="s">
        <v>55</v>
      </c>
      <c r="E2" s="6">
        <v>120000</v>
      </c>
      <c r="F2">
        <v>100000</v>
      </c>
      <c r="G2" s="4">
        <f>E2-F2</f>
        <v>20000</v>
      </c>
      <c r="H2" s="5">
        <v>46143</v>
      </c>
      <c r="I2" t="s">
        <v>79</v>
      </c>
      <c r="J2" t="s">
        <v>67</v>
      </c>
      <c r="K2" t="s">
        <v>92</v>
      </c>
    </row>
    <row r="3" spans="1:11" x14ac:dyDescent="0.25">
      <c r="A3" t="s">
        <v>11</v>
      </c>
      <c r="B3" s="3" t="s">
        <v>26</v>
      </c>
      <c r="C3" t="s">
        <v>41</v>
      </c>
      <c r="D3" t="s">
        <v>56</v>
      </c>
      <c r="E3" s="4">
        <v>75000</v>
      </c>
      <c r="F3">
        <v>82000</v>
      </c>
      <c r="G3" s="4">
        <f>E3-F3</f>
        <v>-7000</v>
      </c>
      <c r="H3" s="5">
        <v>46297</v>
      </c>
      <c r="I3" t="s">
        <v>80</v>
      </c>
      <c r="J3" t="s">
        <v>68</v>
      </c>
      <c r="K3" t="s">
        <v>69</v>
      </c>
    </row>
    <row r="4" spans="1:11" ht="30" x14ac:dyDescent="0.25">
      <c r="A4" t="s">
        <v>12</v>
      </c>
      <c r="B4" s="3" t="s">
        <v>27</v>
      </c>
      <c r="C4" t="s">
        <v>42</v>
      </c>
      <c r="D4" t="s">
        <v>57</v>
      </c>
      <c r="E4" s="4">
        <v>50000</v>
      </c>
      <c r="F4">
        <v>47000</v>
      </c>
      <c r="G4" s="4">
        <f t="shared" ref="G4:G16" si="0">E4-F4</f>
        <v>3000</v>
      </c>
      <c r="H4" s="5">
        <v>46025</v>
      </c>
      <c r="I4" t="s">
        <v>81</v>
      </c>
      <c r="J4" t="s">
        <v>70</v>
      </c>
      <c r="K4" t="s">
        <v>92</v>
      </c>
    </row>
    <row r="5" spans="1:11" x14ac:dyDescent="0.25">
      <c r="A5" t="s">
        <v>13</v>
      </c>
      <c r="B5" s="3" t="s">
        <v>28</v>
      </c>
      <c r="C5" t="s">
        <v>43</v>
      </c>
      <c r="D5" t="s">
        <v>58</v>
      </c>
      <c r="E5" s="4">
        <v>30000</v>
      </c>
      <c r="F5">
        <v>30000</v>
      </c>
      <c r="G5" s="4">
        <f t="shared" si="0"/>
        <v>0</v>
      </c>
      <c r="H5" t="s">
        <v>74</v>
      </c>
      <c r="I5" t="s">
        <v>82</v>
      </c>
      <c r="J5" t="s">
        <v>71</v>
      </c>
      <c r="K5" t="s">
        <v>72</v>
      </c>
    </row>
    <row r="6" spans="1:11" ht="31.5" customHeight="1" x14ac:dyDescent="0.25">
      <c r="A6" t="s">
        <v>14</v>
      </c>
      <c r="B6" s="3" t="s">
        <v>29</v>
      </c>
      <c r="C6" t="s">
        <v>44</v>
      </c>
      <c r="D6" t="s">
        <v>59</v>
      </c>
      <c r="E6" s="4">
        <v>200000</v>
      </c>
      <c r="F6">
        <v>215000</v>
      </c>
      <c r="G6" s="4">
        <f t="shared" si="0"/>
        <v>-15000</v>
      </c>
      <c r="H6" s="5">
        <v>46023</v>
      </c>
      <c r="I6" t="s">
        <v>83</v>
      </c>
      <c r="J6" t="s">
        <v>68</v>
      </c>
      <c r="K6" t="s">
        <v>93</v>
      </c>
    </row>
    <row r="7" spans="1:11" ht="45" x14ac:dyDescent="0.25">
      <c r="A7" s="5" t="s">
        <v>15</v>
      </c>
      <c r="B7" s="3" t="s">
        <v>30</v>
      </c>
      <c r="C7" t="s">
        <v>45</v>
      </c>
      <c r="D7" t="s">
        <v>55</v>
      </c>
      <c r="E7">
        <v>150000</v>
      </c>
      <c r="F7">
        <v>140000</v>
      </c>
      <c r="G7" s="4">
        <f t="shared" si="0"/>
        <v>10000</v>
      </c>
      <c r="H7" t="s">
        <v>75</v>
      </c>
      <c r="I7" t="s">
        <v>84</v>
      </c>
      <c r="J7" t="s">
        <v>91</v>
      </c>
      <c r="K7" t="s">
        <v>92</v>
      </c>
    </row>
    <row r="8" spans="1:11" ht="30" x14ac:dyDescent="0.25">
      <c r="A8" t="s">
        <v>16</v>
      </c>
      <c r="B8" s="3" t="s">
        <v>31</v>
      </c>
      <c r="C8" t="s">
        <v>46</v>
      </c>
      <c r="D8" t="s">
        <v>60</v>
      </c>
      <c r="E8">
        <v>90000</v>
      </c>
      <c r="F8">
        <v>95000</v>
      </c>
      <c r="G8" s="4">
        <f t="shared" si="0"/>
        <v>-5000</v>
      </c>
      <c r="H8" s="5">
        <v>46026</v>
      </c>
      <c r="I8" t="s">
        <v>79</v>
      </c>
      <c r="J8" t="s">
        <v>68</v>
      </c>
      <c r="K8" t="s">
        <v>69</v>
      </c>
    </row>
    <row r="9" spans="1:11" ht="30" x14ac:dyDescent="0.25">
      <c r="A9" t="s">
        <v>17</v>
      </c>
      <c r="B9" s="3" t="s">
        <v>32</v>
      </c>
      <c r="C9" t="s">
        <v>47</v>
      </c>
      <c r="D9" t="s">
        <v>61</v>
      </c>
      <c r="E9">
        <v>60000</v>
      </c>
      <c r="F9">
        <v>58000</v>
      </c>
      <c r="G9" s="4">
        <f t="shared" si="0"/>
        <v>2000</v>
      </c>
      <c r="H9" s="5">
        <v>46296</v>
      </c>
      <c r="I9" t="s">
        <v>85</v>
      </c>
      <c r="J9" t="s">
        <v>73</v>
      </c>
      <c r="K9" t="s">
        <v>72</v>
      </c>
    </row>
    <row r="10" spans="1:11" ht="30" x14ac:dyDescent="0.25">
      <c r="A10" t="s">
        <v>18</v>
      </c>
      <c r="B10" s="3" t="s">
        <v>33</v>
      </c>
      <c r="C10" t="s">
        <v>48</v>
      </c>
      <c r="D10" t="s">
        <v>62</v>
      </c>
      <c r="E10">
        <v>85000</v>
      </c>
      <c r="F10">
        <v>87000</v>
      </c>
      <c r="G10" s="4">
        <f t="shared" si="0"/>
        <v>-2000</v>
      </c>
      <c r="H10" s="5">
        <v>46025</v>
      </c>
      <c r="I10" t="s">
        <v>83</v>
      </c>
      <c r="J10" t="s">
        <v>70</v>
      </c>
      <c r="K10" t="s">
        <v>92</v>
      </c>
    </row>
    <row r="11" spans="1:11" ht="30" x14ac:dyDescent="0.25">
      <c r="A11" t="s">
        <v>19</v>
      </c>
      <c r="B11" s="3" t="s">
        <v>34</v>
      </c>
      <c r="C11" t="s">
        <v>49</v>
      </c>
      <c r="D11" t="s">
        <v>55</v>
      </c>
      <c r="E11">
        <v>180000</v>
      </c>
      <c r="F11">
        <v>210000</v>
      </c>
      <c r="G11" s="4">
        <f t="shared" si="0"/>
        <v>-30000</v>
      </c>
      <c r="H11" t="s">
        <v>76</v>
      </c>
      <c r="I11" t="s">
        <v>81</v>
      </c>
      <c r="J11" t="s">
        <v>68</v>
      </c>
      <c r="K11" t="s">
        <v>93</v>
      </c>
    </row>
    <row r="12" spans="1:11" ht="45" x14ac:dyDescent="0.25">
      <c r="A12" t="s">
        <v>20</v>
      </c>
      <c r="B12" s="3" t="s">
        <v>35</v>
      </c>
      <c r="C12" t="s">
        <v>50</v>
      </c>
      <c r="D12" t="s">
        <v>63</v>
      </c>
      <c r="E12">
        <v>45000</v>
      </c>
      <c r="F12">
        <v>43000</v>
      </c>
      <c r="G12" s="4">
        <f t="shared" si="0"/>
        <v>2000</v>
      </c>
      <c r="H12" t="s">
        <v>77</v>
      </c>
      <c r="I12" t="s">
        <v>86</v>
      </c>
      <c r="J12" t="s">
        <v>67</v>
      </c>
      <c r="K12" t="s">
        <v>72</v>
      </c>
    </row>
    <row r="13" spans="1:11" ht="30" x14ac:dyDescent="0.25">
      <c r="A13" t="s">
        <v>21</v>
      </c>
      <c r="B13" s="3" t="s">
        <v>36</v>
      </c>
      <c r="C13" t="s">
        <v>51</v>
      </c>
      <c r="D13" t="s">
        <v>64</v>
      </c>
      <c r="E13">
        <v>70000</v>
      </c>
      <c r="F13">
        <v>65000</v>
      </c>
      <c r="G13" s="4">
        <f t="shared" si="0"/>
        <v>5000</v>
      </c>
      <c r="H13" s="5">
        <v>46206</v>
      </c>
      <c r="I13" t="s">
        <v>87</v>
      </c>
      <c r="J13" t="s">
        <v>94</v>
      </c>
      <c r="K13" t="s">
        <v>92</v>
      </c>
    </row>
    <row r="14" spans="1:11" ht="30" x14ac:dyDescent="0.25">
      <c r="A14" t="s">
        <v>22</v>
      </c>
      <c r="B14" s="3" t="s">
        <v>37</v>
      </c>
      <c r="C14" t="s">
        <v>52</v>
      </c>
      <c r="D14" t="s">
        <v>62</v>
      </c>
      <c r="E14">
        <v>130000</v>
      </c>
      <c r="F14">
        <v>125000</v>
      </c>
      <c r="G14" s="4">
        <f t="shared" si="0"/>
        <v>5000</v>
      </c>
      <c r="H14" s="5">
        <v>46113</v>
      </c>
      <c r="I14" t="s">
        <v>88</v>
      </c>
      <c r="J14" t="s">
        <v>91</v>
      </c>
      <c r="K14" t="s">
        <v>92</v>
      </c>
    </row>
    <row r="15" spans="1:11" ht="30" x14ac:dyDescent="0.25">
      <c r="A15" t="s">
        <v>23</v>
      </c>
      <c r="B15" s="3" t="s">
        <v>38</v>
      </c>
      <c r="C15" t="s">
        <v>53</v>
      </c>
      <c r="D15" t="s">
        <v>65</v>
      </c>
      <c r="E15">
        <v>220000</v>
      </c>
      <c r="F15">
        <v>200000</v>
      </c>
      <c r="G15" s="4">
        <f t="shared" si="0"/>
        <v>20000</v>
      </c>
      <c r="H15" t="s">
        <v>78</v>
      </c>
      <c r="I15" t="s">
        <v>80</v>
      </c>
      <c r="J15" t="s">
        <v>70</v>
      </c>
      <c r="K15" t="s">
        <v>69</v>
      </c>
    </row>
    <row r="16" spans="1:11" ht="30" x14ac:dyDescent="0.25">
      <c r="A16" t="s">
        <v>24</v>
      </c>
      <c r="B16" s="3" t="s">
        <v>39</v>
      </c>
      <c r="C16" t="s">
        <v>54</v>
      </c>
      <c r="D16" t="s">
        <v>66</v>
      </c>
      <c r="E16">
        <v>40000</v>
      </c>
      <c r="F16">
        <v>42000</v>
      </c>
      <c r="G16" s="4">
        <f t="shared" si="0"/>
        <v>-2000</v>
      </c>
      <c r="H16" s="5">
        <v>46176</v>
      </c>
      <c r="I16" t="s">
        <v>89</v>
      </c>
      <c r="J16" t="s">
        <v>68</v>
      </c>
      <c r="K16" t="s">
        <v>92</v>
      </c>
    </row>
    <row r="17" spans="1:1" x14ac:dyDescent="0.25">
      <c r="A17" s="5"/>
    </row>
    <row r="27" spans="1:1" x14ac:dyDescent="0.25">
      <c r="A27" s="5"/>
    </row>
    <row r="47" spans="1:1" x14ac:dyDescent="0.25">
      <c r="A47" s="5"/>
    </row>
    <row r="67" spans="1:1" x14ac:dyDescent="0.25">
      <c r="A67" s="5"/>
    </row>
    <row r="77" spans="1:1" x14ac:dyDescent="0.25">
      <c r="A77" s="5"/>
    </row>
    <row r="87" spans="1:1" x14ac:dyDescent="0.25">
      <c r="A87" s="5"/>
    </row>
  </sheetData>
  <conditionalFormatting sqref="G1:G1048576">
    <cfRule type="aboveAverage" dxfId="10" priority="11"/>
    <cfRule type="aboveAverage" dxfId="9" priority="12" aboveAverage="0"/>
  </conditionalFormatting>
  <conditionalFormatting sqref="J1:J1048576">
    <cfRule type="cellIs" dxfId="8" priority="5" operator="equal">
      <formula>"Completed"</formula>
    </cfRule>
    <cfRule type="cellIs" dxfId="7" priority="6" operator="equal">
      <formula>"Not Started"</formula>
    </cfRule>
    <cfRule type="cellIs" dxfId="6" priority="7" operator="equal">
      <formula>"In Progress"</formula>
    </cfRule>
    <cfRule type="cellIs" dxfId="5" priority="9" operator="equal">
      <formula>"On Track"</formula>
    </cfRule>
    <cfRule type="cellIs" dxfId="4" priority="10" operator="equal">
      <formula>"Delayed"</formula>
    </cfRule>
  </conditionalFormatting>
  <conditionalFormatting sqref="K1:K1048576">
    <cfRule type="cellIs" dxfId="3" priority="1" operator="equal">
      <formula>"Critical"</formula>
    </cfRule>
    <cfRule type="cellIs" dxfId="2" priority="2" operator="equal">
      <formula>"Low"</formula>
    </cfRule>
    <cfRule type="cellIs" dxfId="1" priority="3" operator="equal">
      <formula>"High"</formula>
    </cfRule>
    <cfRule type="cellIs" dxfId="0" priority="4" operator="equal">
      <formula>"Medium"</formula>
    </cfRule>
  </conditionalFormatting>
  <dataValidations count="2">
    <dataValidation type="list" allowBlank="1" showInputMessage="1" showErrorMessage="1" sqref="J1:J1048576" xr:uid="{A9B30EC0-2CB8-4EE7-9A40-A5930AC15D9D}">
      <formula1>"On Track,Delayed,In Progress,Completed,Not Started,"</formula1>
    </dataValidation>
    <dataValidation type="list" allowBlank="1" showInputMessage="1" showErrorMessage="1" sqref="K1:K1048576" xr:uid="{75777E34-83F2-4EEB-98D3-A9862A4F7F00}">
      <formula1>"Medium,Critical,Low,High"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Master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 Chidinma Chibuike</dc:creator>
  <cp:lastModifiedBy>Glory Chidinma Chibuike</cp:lastModifiedBy>
  <dcterms:created xsi:type="dcterms:W3CDTF">2026-02-21T10:05:43Z</dcterms:created>
  <dcterms:modified xsi:type="dcterms:W3CDTF">2026-02-24T11:31:48Z</dcterms:modified>
</cp:coreProperties>
</file>